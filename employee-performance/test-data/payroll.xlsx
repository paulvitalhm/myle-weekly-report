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1.Angela Batang" state="visible" r:id="rId5"/>
    <sheet sheetId="3" name="2.Ariane Momo" state="visible" r:id="rId6"/>
    <sheet sheetId="4" name="3.Mariana Kryvka" state="visible" r:id="rId7"/>
    <sheet sheetId="5" name="4.Paul Vital" state="visible" r:id="rId8"/>
    <sheet sheetId="6" name="5.MADE" state="visible" r:id="rId9"/>
    <sheet sheetId="7" name="6.Nanette Benz" state="visible" r:id="rId10"/>
    <sheet sheetId="8" name="7.Soraya Koumi" state="visible" r:id="rId11"/>
  </sheets>
  <definedNames>
    <definedName name="_xlnm.Print_Area" localSheetId="0">'Summary'!$A1:$F24</definedName>
    <definedName name="_xlnm.Print_Area" localSheetId="1">'1.Angela Batang'!$A1:$K22</definedName>
    <definedName name="_xlnm.Print_Area" localSheetId="2">'2.Ariane Momo'!$A1:$K20</definedName>
    <definedName name="_xlnm.Print_Area" localSheetId="3">'3.Mariana Kryvka'!$A1:$K21</definedName>
    <definedName name="_xlnm.Print_Area" localSheetId="4">'4.Paul Vital'!$A1:$K23</definedName>
    <definedName name="_xlnm.Print_Area" localSheetId="5">'5.MADE'!$A1:$K19</definedName>
    <definedName name="_xlnm.Print_Area" localSheetId="6">'6.Nanette Benz'!$A1:$K19</definedName>
    <definedName name="_xlnm.Print_Area" localSheetId="7">'7.Soraya Koumi'!$A1:$K17</definedName>
  </definedNames>
  <calcPr calcId="171027"/>
</workbook>
</file>

<file path=xl/sharedStrings.xml><?xml version="1.0" encoding="utf-8"?>
<sst xmlns="http://schemas.openxmlformats.org/spreadsheetml/2006/main" count="256" uniqueCount="48">
  <si>
    <t>Payroll report</t>
  </si>
  <si>
    <t xml:space="preserve">MYLE Home Services </t>
  </si>
  <si>
    <t>Start</t>
  </si>
  <si>
    <t>11/03/2025</t>
  </si>
  <si>
    <t>End</t>
  </si>
  <si>
    <t>11/08/2025</t>
  </si>
  <si>
    <t>Name</t>
  </si>
  <si>
    <t>Total hours (hours &amp; minutes)</t>
  </si>
  <si>
    <t>Hourly rate ($)</t>
  </si>
  <si>
    <t>Total pay ($)</t>
  </si>
  <si>
    <t>Angela Batang</t>
  </si>
  <si>
    <t>33h 35m</t>
  </si>
  <si>
    <t>Ariane Momo</t>
  </si>
  <si>
    <t>21h 53m</t>
  </si>
  <si>
    <t>Mariana Kryvka</t>
  </si>
  <si>
    <t>21h 0m</t>
  </si>
  <si>
    <t>Paul Vital</t>
  </si>
  <si>
    <t>15h 32m</t>
  </si>
  <si>
    <t>MADE</t>
  </si>
  <si>
    <t>13h 34m</t>
  </si>
  <si>
    <t>Nanette Benz</t>
  </si>
  <si>
    <t>12h 55m</t>
  </si>
  <si>
    <t>Soraya Koumi</t>
  </si>
  <si>
    <t>0m</t>
  </si>
  <si>
    <t>Totals</t>
  </si>
  <si>
    <t>Report notes:</t>
  </si>
  <si>
    <t>Breakdown of each employees times for the period are included as seperate sheets in this document.</t>
  </si>
  <si>
    <t>Pay is calculated using hours and minutes for maximum accuracy and includes overtime and flat fee payments, so may appear slightly different than if you were to multiply the decimal hour by the hourly rate.</t>
  </si>
  <si>
    <r>
      <t xml:space="preserve">Generated by </t>
    </r>
    <r>
      <rPr>
        <b/>
      </rPr>
      <t>Time Squared</t>
    </r>
  </si>
  <si>
    <t>Time Sheet</t>
  </si>
  <si>
    <t/>
  </si>
  <si>
    <t>Period</t>
  </si>
  <si>
    <t>11/03/2025 to 11/08/2025</t>
  </si>
  <si>
    <t>Project or client</t>
  </si>
  <si>
    <t>Start date</t>
  </si>
  <si>
    <t>Length (hours &amp; minutes)</t>
  </si>
  <si>
    <t>Employee hourly rate</t>
  </si>
  <si>
    <t>Paid / Unpaid</t>
  </si>
  <si>
    <t>Employee pay</t>
  </si>
  <si>
    <t>Attachments</t>
  </si>
  <si>
    <t>Break</t>
  </si>
  <si>
    <t>Total hours</t>
  </si>
  <si>
    <t>Unpaid</t>
  </si>
  <si>
    <t>Totals:</t>
  </si>
  <si>
    <t>Time sheet notes:</t>
  </si>
  <si>
    <t>Break and Length columns: hours in decimal format is rounded to two decimal places.</t>
  </si>
  <si>
    <t>Employee hourly rate and Employee pay are in '$'.</t>
  </si>
  <si>
    <t>Employee pay are calculated using hours and minutes for maximum accuracy, so may appear slightly different than if you were to multiply the length by the hourly rate. This is because the Length column has been rounded to two decimal places.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</si>
</sst>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right/>
      <top/>
      <bottom style="thin"/>
      <diagonal/>
    </border>
  </borders>
  <cellStyleXfs count="1">
    <xf numFmtId="0" fontId="0" fillId="0" borderId="0"/>
  </cellStyleXfs>
  <cellXfs count="8">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Alignment="1">
      <alignment horizontal="right" vertical="top" wrapText="1"/>
    </xf>
    <xf numFmtId="0" fontId="1" fillId="0" borderId="1" xfId="0" applyFont="1" applyBorder="1" applyAlignment="1">
      <alignment vertical="top" wrapText="1"/>
    </xf>
    <xf numFmtId="4" fontId="0" fillId="0" borderId="0" xfId="0" applyNumberFormat="1" applyAlignment="1">
      <alignment vertical="top" wrapText="1"/>
    </xf>
    <xf numFmtId="164" fontId="0" fillId="0" borderId="0" xfId="0" applyNumberFormat="1" applyAlignment="1">
      <alignment vertical="top" wrapText="1"/>
    </xf>
    <xf numFmtId="18"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4"/>
  <sheetFormatPr defaultRowHeight="15" outlineLevelRow="0" outlineLevelCol="0" x14ac:dyDescent="55"/>
  <cols>
    <col min="1" max="1" width="22" style="1" customWidth="1"/>
    <col min="2" max="2" width="18" style="1" customWidth="1"/>
    <col min="3" max="3" width="16" style="1" customWidth="1"/>
    <col min="4" max="4" width="18" style="1" customWidth="1"/>
  </cols>
  <sheetData>
    <row r="1" spans="1:3" x14ac:dyDescent="0.25">
      <c r="A1" s="2" t="s">
        <v>0</v>
      </c>
      <c r="B1" s="2" t="s">
        <v>1</v>
      </c>
      <c r="C1" s="1"/>
    </row>
    <row r="3" spans="1:2" x14ac:dyDescent="0.25">
      <c r="A3" s="2" t="s">
        <v>2</v>
      </c>
      <c r="B3" s="3" t="s">
        <v>3</v>
      </c>
    </row>
    <row r="4" spans="1:2" x14ac:dyDescent="0.25">
      <c r="A4" s="2" t="s">
        <v>4</v>
      </c>
      <c r="B4" s="3" t="s">
        <v>5</v>
      </c>
    </row>
    <row r="6" spans="1:4" x14ac:dyDescent="0.25">
      <c r="A6" s="4" t="s">
        <v>6</v>
      </c>
      <c r="B6" s="4" t="s">
        <v>7</v>
      </c>
      <c r="C6" s="4" t="s">
        <v>8</v>
      </c>
      <c r="D6" s="4" t="s">
        <v>9</v>
      </c>
    </row>
    <row r="7" spans="1:4" x14ac:dyDescent="0.25">
      <c r="A7" s="1" t="s">
        <v>10</v>
      </c>
      <c r="B7" s="1" t="s">
        <v>11</v>
      </c>
      <c r="C7" s="5">
        <v>21.5</v>
      </c>
      <c r="D7" s="5">
        <v>722.05</v>
      </c>
    </row>
    <row r="8" spans="1:4" x14ac:dyDescent="0.25">
      <c r="A8" s="1" t="s">
        <v>12</v>
      </c>
      <c r="B8" s="1" t="s">
        <v>13</v>
      </c>
      <c r="C8" s="5">
        <v>13.16</v>
      </c>
      <c r="D8" s="5">
        <v>287.98</v>
      </c>
    </row>
    <row r="9" spans="1:4" x14ac:dyDescent="0.25">
      <c r="A9" s="1" t="s">
        <v>14</v>
      </c>
      <c r="B9" s="1" t="s">
        <v>15</v>
      </c>
      <c r="C9" s="5">
        <v>20</v>
      </c>
      <c r="D9" s="5">
        <v>420</v>
      </c>
    </row>
    <row r="10" spans="1:4" x14ac:dyDescent="0.25">
      <c r="A10" s="1" t="s">
        <v>16</v>
      </c>
      <c r="B10" s="1" t="s">
        <v>17</v>
      </c>
      <c r="C10" s="5">
        <v>21.5</v>
      </c>
      <c r="D10" s="5">
        <v>333.97</v>
      </c>
    </row>
    <row r="11" spans="1:4" x14ac:dyDescent="0.25">
      <c r="A11" s="1" t="s">
        <v>18</v>
      </c>
      <c r="B11" s="1" t="s">
        <v>19</v>
      </c>
      <c r="C11" s="5">
        <v>16.1</v>
      </c>
      <c r="D11" s="5">
        <v>218.42</v>
      </c>
    </row>
    <row r="12" spans="1:4" x14ac:dyDescent="0.25">
      <c r="A12" s="1" t="s">
        <v>20</v>
      </c>
      <c r="B12" s="1" t="s">
        <v>21</v>
      </c>
      <c r="C12" s="5">
        <v>18.75</v>
      </c>
      <c r="D12" s="5">
        <v>242.19</v>
      </c>
    </row>
    <row r="13" spans="1:4" x14ac:dyDescent="0.25">
      <c r="A13" s="1" t="s">
        <v>22</v>
      </c>
      <c r="B13" s="1" t="s">
        <v>23</v>
      </c>
      <c r="C13" s="5">
        <v>16.1</v>
      </c>
      <c r="D13" s="5">
        <v>0</v>
      </c>
    </row>
    <row r="16" spans="1:4" x14ac:dyDescent="0.25">
      <c r="A16" s="2" t="s">
        <v>24</v>
      </c>
      <c r="D16" s="5">
        <f>SUM(D7:D13)</f>
        <v>2224.61</v>
      </c>
    </row>
    <row r="20" spans="1:4" x14ac:dyDescent="0.25">
      <c r="A20" s="2" t="s">
        <v>25</v>
      </c>
      <c r="B20" s="1"/>
      <c r="C20" s="1"/>
      <c r="D20" s="1"/>
    </row>
    <row r="21" spans="1:4" x14ac:dyDescent="0.25">
      <c r="A21" s="1" t="s">
        <v>26</v>
      </c>
      <c r="B21" s="1"/>
      <c r="C21" s="1"/>
      <c r="D21" s="1"/>
    </row>
    <row r="22" ht="45" customHeight="1" spans="1:4" x14ac:dyDescent="0.25">
      <c r="A22" s="1" t="s">
        <v>27</v>
      </c>
      <c r="B22" s="1"/>
      <c r="C22" s="1"/>
      <c r="D22" s="1"/>
    </row>
    <row r="23" spans="1:4" x14ac:dyDescent="0.25">
      <c r="A23" s="1"/>
      <c r="B23" s="1"/>
      <c r="C23" s="1"/>
      <c r="D23" s="1"/>
    </row>
    <row r="24" spans="1:4" x14ac:dyDescent="0.25">
      <c r="A24" s="1" t="s">
        <v>28</v>
      </c>
      <c r="B24" s="1"/>
      <c r="C24" s="1"/>
      <c r="D24" s="1"/>
    </row>
  </sheetData>
  <mergeCells count="6">
    <mergeCell ref="B1:C1"/>
    <mergeCell ref="A20:D20"/>
    <mergeCell ref="A21:D21"/>
    <mergeCell ref="A22:D22"/>
    <mergeCell ref="A23:D23"/>
    <mergeCell ref="A24:D24"/>
  </mergeCells>
  <pageSetup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
  <sheetFormatPr defaultRowHeight="15" outlineLevelRow="0" outlineLevelCol="0" x14ac:dyDescent="55"/>
  <cols>
    <col min="1" max="1" width="20" style="1" customWidth="1"/>
    <col min="2" max="2" width="14" style="1" customWidth="1"/>
    <col min="3" max="4" width="11" style="1" customWidth="1"/>
    <col min="5" max="5" width="17" style="1" customWidth="1"/>
    <col min="6" max="6" width="13" style="1" customWidth="1"/>
    <col min="7" max="7" width="12" style="1" customWidth="1"/>
    <col min="8" max="8" width="11" style="1" customWidth="1"/>
    <col min="9" max="9" width="30" style="1" customWidth="1"/>
    <col min="10" max="11" style="1" customWidth="1"/>
  </cols>
  <sheetData>
    <row r="1" spans="1:5" x14ac:dyDescent="0.25">
      <c r="A1" s="2" t="s">
        <v>29</v>
      </c>
      <c r="B1" s="2" t="s">
        <v>1</v>
      </c>
      <c r="C1" s="1"/>
      <c r="D1" s="1"/>
      <c r="E1" s="1"/>
    </row>
    <row r="2" spans="1:5" x14ac:dyDescent="0.25">
      <c r="A2" s="2" t="s">
        <v>30</v>
      </c>
      <c r="B2" s="2" t="s">
        <v>10</v>
      </c>
      <c r="C2" s="1"/>
      <c r="D2" s="1"/>
      <c r="E2" s="1"/>
    </row>
    <row r="4" spans="1:5" x14ac:dyDescent="0.25">
      <c r="A4" s="2" t="s">
        <v>31</v>
      </c>
      <c r="B4" s="1" t="s">
        <v>32</v>
      </c>
      <c r="C4" s="1"/>
      <c r="D4" s="1"/>
      <c r="E4" s="1"/>
    </row>
    <row r="6" spans="1:11" x14ac:dyDescent="0.25">
      <c r="A6" s="4" t="s">
        <v>33</v>
      </c>
      <c r="B6" s="4" t="s">
        <v>34</v>
      </c>
      <c r="C6" s="4" t="s">
        <v>2</v>
      </c>
      <c r="D6" s="4" t="s">
        <v>4</v>
      </c>
      <c r="E6" s="4" t="s">
        <v>35</v>
      </c>
      <c r="F6" s="4" t="s">
        <v>36</v>
      </c>
      <c r="G6" s="4" t="s">
        <v>37</v>
      </c>
      <c r="H6" s="4" t="s">
        <v>38</v>
      </c>
      <c r="I6" s="4" t="s">
        <v>39</v>
      </c>
      <c r="J6" s="4" t="s">
        <v>40</v>
      </c>
      <c r="K6" s="4" t="s">
        <v>41</v>
      </c>
    </row>
    <row r="7" spans="1:11" x14ac:dyDescent="0.25">
      <c r="A7" s="1" t="s">
        <v>30</v>
      </c>
      <c r="B7" s="6">
        <v>45968.375</v>
      </c>
      <c r="C7" s="7">
        <f>B7</f>
        <v>45968.375</v>
      </c>
      <c r="D7" s="7">
        <v>45968.59375</v>
      </c>
      <c r="E7" s="1" t="str">
        <f>IF(FLOOR(TRUNC(K7),1)&gt;0,FLOOR(TRUNC(K7),1)&amp;"h "&amp;FLOOR(ROUND((K7-FLOOR(TRUNC(K7),1))*60,0),1)&amp;"m",FLOOR(ROUND((K7-FLOOR(TRUNC(K7),1))*60,0),1)&amp;"m")</f>
        <v>5h 15m</v>
      </c>
      <c r="F7" s="5">
        <v>21.5</v>
      </c>
      <c r="G7" s="1" t="s">
        <v>42</v>
      </c>
      <c r="H7" s="5">
        <f>K7*F7</f>
        <v>112.88</v>
      </c>
      <c r="I7" s="1" t="s">
        <v>30</v>
      </c>
      <c r="J7" s="5">
        <v>0</v>
      </c>
      <c r="K7" s="5">
        <f>MAX(ROUND((D7-B7)*24,3)-J7,0)</f>
        <v>5.25</v>
      </c>
    </row>
    <row r="8" spans="1:11" x14ac:dyDescent="0.25">
      <c r="A8" s="1" t="s">
        <v>30</v>
      </c>
      <c r="B8" s="6">
        <v>45967.375</v>
      </c>
      <c r="C8" s="7">
        <f>B8</f>
        <v>45967.375</v>
      </c>
      <c r="D8" s="7">
        <v>45967.69791666667</v>
      </c>
      <c r="E8" s="1" t="str">
        <f>IF(FLOOR(TRUNC(K8),1)&gt;0,FLOOR(TRUNC(K8),1)&amp;"h "&amp;FLOOR(ROUND((K8-FLOOR(TRUNC(K8),1))*60,0),1)&amp;"m",FLOOR(ROUND((K8-FLOOR(TRUNC(K8),1))*60,0),1)&amp;"m")</f>
        <v>7h 45m</v>
      </c>
      <c r="F8" s="5">
        <v>21.5</v>
      </c>
      <c r="G8" s="1" t="s">
        <v>42</v>
      </c>
      <c r="H8" s="5">
        <f>K8*F8</f>
        <v>166.63</v>
      </c>
      <c r="I8" s="1" t="s">
        <v>30</v>
      </c>
      <c r="J8" s="5">
        <v>0</v>
      </c>
      <c r="K8" s="5">
        <f>MAX(ROUND((D8-B8)*24,3)-J8,0)</f>
        <v>7.75</v>
      </c>
    </row>
    <row r="9" spans="1:11" x14ac:dyDescent="0.25">
      <c r="A9" s="1" t="s">
        <v>30</v>
      </c>
      <c r="B9" s="6">
        <v>45966.375</v>
      </c>
      <c r="C9" s="7">
        <f>B9</f>
        <v>45966.375</v>
      </c>
      <c r="D9" s="7">
        <v>45966.6875</v>
      </c>
      <c r="E9" s="1" t="str">
        <f>IF(FLOOR(TRUNC(K9),1)&gt;0,FLOOR(TRUNC(K9),1)&amp;"h "&amp;FLOOR(ROUND((K9-FLOOR(TRUNC(K9),1))*60,0),1)&amp;"m",FLOOR(ROUND((K9-FLOOR(TRUNC(K9),1))*60,0),1)&amp;"m")</f>
        <v>7h 30m</v>
      </c>
      <c r="F9" s="5">
        <v>21.5</v>
      </c>
      <c r="G9" s="1" t="s">
        <v>42</v>
      </c>
      <c r="H9" s="5">
        <f>K9*F9</f>
        <v>161.25</v>
      </c>
      <c r="I9" s="1" t="s">
        <v>30</v>
      </c>
      <c r="J9" s="5">
        <v>0</v>
      </c>
      <c r="K9" s="5">
        <f>MAX(ROUND((D9-B9)*24,3)-J9,0)</f>
        <v>7.5</v>
      </c>
    </row>
    <row r="10" spans="1:11" x14ac:dyDescent="0.25">
      <c r="A10" s="1" t="s">
        <v>30</v>
      </c>
      <c r="B10" s="6">
        <v>45965.375</v>
      </c>
      <c r="C10" s="7">
        <f>B10</f>
        <v>45965.375</v>
      </c>
      <c r="D10" s="7">
        <v>45965.66666666667</v>
      </c>
      <c r="E10" s="1" t="str">
        <f>IF(FLOOR(TRUNC(K10),1)&gt;0,FLOOR(TRUNC(K10),1)&amp;"h "&amp;FLOOR(ROUND((K10-FLOOR(TRUNC(K10),1))*60,0),1)&amp;"m",FLOOR(ROUND((K10-FLOOR(TRUNC(K10),1))*60,0),1)&amp;"m")</f>
        <v>7h 0m</v>
      </c>
      <c r="F10" s="5">
        <v>21.5</v>
      </c>
      <c r="G10" s="1" t="s">
        <v>42</v>
      </c>
      <c r="H10" s="5">
        <f>K10*F10</f>
        <v>150.5</v>
      </c>
      <c r="I10" s="1" t="s">
        <v>30</v>
      </c>
      <c r="J10" s="5">
        <v>0</v>
      </c>
      <c r="K10" s="5">
        <f>MAX(ROUND((D10-B10)*24,3)-J10,0)</f>
        <v>7</v>
      </c>
    </row>
    <row r="11" spans="1:11" x14ac:dyDescent="0.25">
      <c r="A11" s="1" t="s">
        <v>30</v>
      </c>
      <c r="B11" s="6">
        <v>45964.375</v>
      </c>
      <c r="C11" s="7">
        <f>B11</f>
        <v>45964.375</v>
      </c>
      <c r="D11" s="7">
        <v>45964.62847222222</v>
      </c>
      <c r="E11" s="1" t="str">
        <f>IF(FLOOR(TRUNC(K11),1)&gt;0,FLOOR(TRUNC(K11),1)&amp;"h "&amp;FLOOR(ROUND((K11-FLOOR(TRUNC(K11),1))*60,0),1)&amp;"m",FLOOR(ROUND((K11-FLOOR(TRUNC(K11),1))*60,0),1)&amp;"m")</f>
        <v>6h 5m</v>
      </c>
      <c r="F11" s="5">
        <v>21.5</v>
      </c>
      <c r="G11" s="1" t="s">
        <v>42</v>
      </c>
      <c r="H11" s="5">
        <f>K11*F11</f>
        <v>130.79</v>
      </c>
      <c r="I11" s="1" t="s">
        <v>30</v>
      </c>
      <c r="J11" s="5">
        <v>0</v>
      </c>
      <c r="K11" s="5">
        <f>MAX(ROUND((D11-B11)*24,3)-J11,0)</f>
        <v>6.083333</v>
      </c>
    </row>
    <row r="12" spans="4:10" x14ac:dyDescent="0.25">
      <c r="D12" s="4"/>
      <c r="E12" s="4"/>
      <c r="F12" s="4"/>
      <c r="G12" s="4"/>
      <c r="H12" s="4"/>
      <c r="I12" s="4"/>
      <c r="J12" s="4"/>
    </row>
    <row r="13" spans="4:11" x14ac:dyDescent="0.25">
      <c r="D13" s="2" t="s">
        <v>43</v>
      </c>
      <c r="E13" s="1" t="str">
        <f>IF(FLOOR(TRUNC(K13),1)&gt;0,FLOOR(TRUNC(K13),1)&amp;"h "&amp;FLOOR(ROUND((K13-FLOOR(TRUNC(K13),1))*60,0),1)&amp;"m",FLOOR(ROUND((K13-FLOOR(TRUNC(K13),1))*60,0),1)&amp;"m")</f>
        <v>33h 35m</v>
      </c>
      <c r="H13" s="5">
        <f>SUM(H7:H11)</f>
        <v>722.05</v>
      </c>
      <c r="J13" s="5">
        <f>SUM(J7:J11)</f>
        <v>0</v>
      </c>
      <c r="K13" s="5">
        <f>SUM(K7:K11)</f>
        <v>33.58</v>
      </c>
    </row>
    <row r="17" spans="1:9" x14ac:dyDescent="0.25">
      <c r="A17" s="2" t="s">
        <v>44</v>
      </c>
      <c r="B17" s="1"/>
      <c r="C17" s="1"/>
      <c r="D17" s="1"/>
      <c r="E17" s="1"/>
      <c r="F17" s="1"/>
      <c r="G17" s="1"/>
      <c r="H17" s="1"/>
      <c r="I17" s="1"/>
    </row>
    <row r="18" spans="1:9" x14ac:dyDescent="0.25">
      <c r="A18" s="1" t="s">
        <v>45</v>
      </c>
      <c r="B18" s="1"/>
      <c r="C18" s="1"/>
      <c r="D18" s="1"/>
      <c r="E18" s="1"/>
      <c r="F18" s="1"/>
      <c r="G18" s="1"/>
      <c r="H18" s="1"/>
      <c r="I18" s="1"/>
    </row>
    <row r="19" spans="1:9" x14ac:dyDescent="0.25">
      <c r="A19" s="1" t="s">
        <v>46</v>
      </c>
      <c r="B19" s="1"/>
      <c r="C19" s="1"/>
      <c r="D19" s="1"/>
      <c r="E19" s="1"/>
      <c r="F19" s="1"/>
      <c r="G19" s="1"/>
      <c r="H19" s="1"/>
      <c r="I19" s="1"/>
    </row>
    <row r="20" ht="30" customHeight="1" spans="1:9" x14ac:dyDescent="0.25">
      <c r="A20" s="1" t="s">
        <v>47</v>
      </c>
      <c r="B20" s="1"/>
      <c r="C20" s="1"/>
      <c r="D20" s="1"/>
      <c r="E20" s="1"/>
      <c r="F20" s="1"/>
      <c r="G20" s="1"/>
      <c r="H20" s="1"/>
      <c r="I20" s="1"/>
    </row>
    <row r="21" spans="1:9" x14ac:dyDescent="0.25">
      <c r="A21" s="1"/>
      <c r="B21" s="1"/>
      <c r="C21" s="1"/>
      <c r="D21" s="1"/>
      <c r="E21" s="1"/>
      <c r="F21" s="1"/>
      <c r="G21" s="1"/>
      <c r="H21" s="1"/>
      <c r="I21" s="1"/>
    </row>
    <row r="22" spans="1:9" x14ac:dyDescent="0.25">
      <c r="A22" s="1" t="s">
        <v>28</v>
      </c>
      <c r="B22" s="1"/>
      <c r="C22" s="1"/>
      <c r="D22" s="1"/>
      <c r="E22" s="1"/>
      <c r="F22" s="1"/>
      <c r="G22" s="1"/>
      <c r="H22" s="1"/>
      <c r="I22" s="1"/>
    </row>
  </sheetData>
  <mergeCells count="9">
    <mergeCell ref="B1:E1"/>
    <mergeCell ref="B2:E2"/>
    <mergeCell ref="B4:E4"/>
    <mergeCell ref="A17:I17"/>
    <mergeCell ref="A18:I18"/>
    <mergeCell ref="A19:I19"/>
    <mergeCell ref="A20:I20"/>
    <mergeCell ref="A21:I21"/>
    <mergeCell ref="A22:I22"/>
  </mergeCells>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FormatPr defaultRowHeight="15" outlineLevelRow="0" outlineLevelCol="0" x14ac:dyDescent="55"/>
  <cols>
    <col min="1" max="1" width="20" style="1" customWidth="1"/>
    <col min="2" max="2" width="14" style="1" customWidth="1"/>
    <col min="3" max="4" width="11" style="1" customWidth="1"/>
    <col min="5" max="5" width="17" style="1" customWidth="1"/>
    <col min="6" max="6" width="13" style="1" customWidth="1"/>
    <col min="7" max="7" width="12" style="1" customWidth="1"/>
    <col min="8" max="8" width="11" style="1" customWidth="1"/>
    <col min="9" max="9" width="30" style="1" customWidth="1"/>
    <col min="10" max="11" style="1" customWidth="1"/>
  </cols>
  <sheetData>
    <row r="1" spans="1:5" x14ac:dyDescent="0.25">
      <c r="A1" s="2" t="s">
        <v>29</v>
      </c>
      <c r="B1" s="2" t="s">
        <v>1</v>
      </c>
      <c r="C1" s="1"/>
      <c r="D1" s="1"/>
      <c r="E1" s="1"/>
    </row>
    <row r="2" spans="1:5" x14ac:dyDescent="0.25">
      <c r="A2" s="2" t="s">
        <v>30</v>
      </c>
      <c r="B2" s="2" t="s">
        <v>12</v>
      </c>
      <c r="C2" s="1"/>
      <c r="D2" s="1"/>
      <c r="E2" s="1"/>
    </row>
    <row r="4" spans="1:5" x14ac:dyDescent="0.25">
      <c r="A4" s="2" t="s">
        <v>31</v>
      </c>
      <c r="B4" s="1" t="s">
        <v>32</v>
      </c>
      <c r="C4" s="1"/>
      <c r="D4" s="1"/>
      <c r="E4" s="1"/>
    </row>
    <row r="6" spans="1:11" x14ac:dyDescent="0.25">
      <c r="A6" s="4" t="s">
        <v>33</v>
      </c>
      <c r="B6" s="4" t="s">
        <v>34</v>
      </c>
      <c r="C6" s="4" t="s">
        <v>2</v>
      </c>
      <c r="D6" s="4" t="s">
        <v>4</v>
      </c>
      <c r="E6" s="4" t="s">
        <v>35</v>
      </c>
      <c r="F6" s="4" t="s">
        <v>36</v>
      </c>
      <c r="G6" s="4" t="s">
        <v>37</v>
      </c>
      <c r="H6" s="4" t="s">
        <v>38</v>
      </c>
      <c r="I6" s="4" t="s">
        <v>39</v>
      </c>
      <c r="J6" s="4" t="s">
        <v>40</v>
      </c>
      <c r="K6" s="4" t="s">
        <v>41</v>
      </c>
    </row>
    <row r="7" spans="1:11" x14ac:dyDescent="0.25">
      <c r="A7" s="1" t="s">
        <v>30</v>
      </c>
      <c r="B7" s="6">
        <v>45967.375</v>
      </c>
      <c r="C7" s="7">
        <f>B7</f>
        <v>45967.375</v>
      </c>
      <c r="D7" s="7">
        <v>45967.70138888889</v>
      </c>
      <c r="E7" s="1" t="str">
        <f>IF(FLOOR(TRUNC(K7),1)&gt;0,FLOOR(TRUNC(K7),1)&amp;"h "&amp;FLOOR(ROUND((K7-FLOOR(TRUNC(K7),1))*60,0),1)&amp;"m",FLOOR(ROUND((K7-FLOOR(TRUNC(K7),1))*60,0),1)&amp;"m")</f>
        <v>7h 50m</v>
      </c>
      <c r="F7" s="5">
        <v>13.16</v>
      </c>
      <c r="G7" s="1" t="s">
        <v>42</v>
      </c>
      <c r="H7" s="5">
        <f>K7*F7</f>
        <v>103.09</v>
      </c>
      <c r="I7" s="1" t="s">
        <v>30</v>
      </c>
      <c r="J7" s="5">
        <v>0</v>
      </c>
      <c r="K7" s="5">
        <f>MAX(ROUND((D7-B7)*24,3)-J7,0)</f>
        <v>7.833333</v>
      </c>
    </row>
    <row r="8" spans="1:11" x14ac:dyDescent="0.25">
      <c r="A8" s="1" t="s">
        <v>30</v>
      </c>
      <c r="B8" s="6">
        <v>45966.375</v>
      </c>
      <c r="C8" s="7">
        <f>B8</f>
        <v>45966.375</v>
      </c>
      <c r="D8" s="7">
        <v>45966.70486111111</v>
      </c>
      <c r="E8" s="1" t="str">
        <f>IF(FLOOR(TRUNC(K8),1)&gt;0,FLOOR(TRUNC(K8),1)&amp;"h "&amp;FLOOR(ROUND((K8-FLOOR(TRUNC(K8),1))*60,0),1)&amp;"m",FLOOR(ROUND((K8-FLOOR(TRUNC(K8),1))*60,0),1)&amp;"m")</f>
        <v>7h 55m</v>
      </c>
      <c r="F8" s="5">
        <v>13.16</v>
      </c>
      <c r="G8" s="1" t="s">
        <v>42</v>
      </c>
      <c r="H8" s="5">
        <f>K8*F8</f>
        <v>104.18</v>
      </c>
      <c r="I8" s="1" t="s">
        <v>30</v>
      </c>
      <c r="J8" s="5">
        <v>0</v>
      </c>
      <c r="K8" s="5">
        <f>MAX(ROUND((D8-B8)*24,3)-J8,0)</f>
        <v>7.916667</v>
      </c>
    </row>
    <row r="9" spans="1:11" x14ac:dyDescent="0.25">
      <c r="A9" s="1" t="s">
        <v>30</v>
      </c>
      <c r="B9" s="6">
        <v>45964.375</v>
      </c>
      <c r="C9" s="7">
        <f>B9</f>
        <v>45964.375</v>
      </c>
      <c r="D9" s="7">
        <v>45964.63055555556</v>
      </c>
      <c r="E9" s="1" t="str">
        <f>IF(FLOOR(TRUNC(K9),1)&gt;0,FLOOR(TRUNC(K9),1)&amp;"h "&amp;FLOOR(ROUND((K9-FLOOR(TRUNC(K9),1))*60,0),1)&amp;"m",FLOOR(ROUND((K9-FLOOR(TRUNC(K9),1))*60,0),1)&amp;"m")</f>
        <v>6h 8m</v>
      </c>
      <c r="F9" s="5">
        <v>13.16</v>
      </c>
      <c r="G9" s="1" t="s">
        <v>42</v>
      </c>
      <c r="H9" s="5">
        <f>K9*F9</f>
        <v>80.71</v>
      </c>
      <c r="I9" s="1" t="s">
        <v>30</v>
      </c>
      <c r="J9" s="5">
        <v>0</v>
      </c>
      <c r="K9" s="5">
        <f>MAX(ROUND((D9-B9)*24,3)-J9,0)</f>
        <v>6.133333</v>
      </c>
    </row>
    <row r="10" spans="4:10" x14ac:dyDescent="0.25">
      <c r="D10" s="4"/>
      <c r="E10" s="4"/>
      <c r="F10" s="4"/>
      <c r="G10" s="4"/>
      <c r="H10" s="4"/>
      <c r="I10" s="4"/>
      <c r="J10" s="4"/>
    </row>
    <row r="11" spans="4:11" x14ac:dyDescent="0.25">
      <c r="D11" s="2" t="s">
        <v>43</v>
      </c>
      <c r="E11" s="1" t="str">
        <f>IF(FLOOR(TRUNC(K11),1)&gt;0,FLOOR(TRUNC(K11),1)&amp;"h "&amp;FLOOR(ROUND((K11-FLOOR(TRUNC(K11),1))*60,0),1)&amp;"m",FLOOR(ROUND((K11-FLOOR(TRUNC(K11),1))*60,0),1)&amp;"m")</f>
        <v>21h 53m</v>
      </c>
      <c r="H11" s="5">
        <f>SUM(H7:H9)</f>
        <v>287.98</v>
      </c>
      <c r="J11" s="5">
        <f>SUM(J7:J9)</f>
        <v>0</v>
      </c>
      <c r="K11" s="5">
        <f>SUM(K7:K9)</f>
        <v>21.88</v>
      </c>
    </row>
    <row r="15" spans="1:9" x14ac:dyDescent="0.25">
      <c r="A15" s="2" t="s">
        <v>44</v>
      </c>
      <c r="B15" s="1"/>
      <c r="C15" s="1"/>
      <c r="D15" s="1"/>
      <c r="E15" s="1"/>
      <c r="F15" s="1"/>
      <c r="G15" s="1"/>
      <c r="H15" s="1"/>
      <c r="I15" s="1"/>
    </row>
    <row r="16" spans="1:9" x14ac:dyDescent="0.25">
      <c r="A16" s="1" t="s">
        <v>45</v>
      </c>
      <c r="B16" s="1"/>
      <c r="C16" s="1"/>
      <c r="D16" s="1"/>
      <c r="E16" s="1"/>
      <c r="F16" s="1"/>
      <c r="G16" s="1"/>
      <c r="H16" s="1"/>
      <c r="I16" s="1"/>
    </row>
    <row r="17" spans="1:9" x14ac:dyDescent="0.25">
      <c r="A17" s="1" t="s">
        <v>46</v>
      </c>
      <c r="B17" s="1"/>
      <c r="C17" s="1"/>
      <c r="D17" s="1"/>
      <c r="E17" s="1"/>
      <c r="F17" s="1"/>
      <c r="G17" s="1"/>
      <c r="H17" s="1"/>
      <c r="I17" s="1"/>
    </row>
    <row r="18" ht="30" customHeight="1" spans="1:9" x14ac:dyDescent="0.25">
      <c r="A18" s="1" t="s">
        <v>47</v>
      </c>
      <c r="B18" s="1"/>
      <c r="C18" s="1"/>
      <c r="D18" s="1"/>
      <c r="E18" s="1"/>
      <c r="F18" s="1"/>
      <c r="G18" s="1"/>
      <c r="H18" s="1"/>
      <c r="I18" s="1"/>
    </row>
    <row r="19" spans="1:9" x14ac:dyDescent="0.25">
      <c r="A19" s="1"/>
      <c r="B19" s="1"/>
      <c r="C19" s="1"/>
      <c r="D19" s="1"/>
      <c r="E19" s="1"/>
      <c r="F19" s="1"/>
      <c r="G19" s="1"/>
      <c r="H19" s="1"/>
      <c r="I19" s="1"/>
    </row>
    <row r="20" spans="1:9" x14ac:dyDescent="0.25">
      <c r="A20" s="1" t="s">
        <v>28</v>
      </c>
      <c r="B20" s="1"/>
      <c r="C20" s="1"/>
      <c r="D20" s="1"/>
      <c r="E20" s="1"/>
      <c r="F20" s="1"/>
      <c r="G20" s="1"/>
      <c r="H20" s="1"/>
      <c r="I20" s="1"/>
    </row>
  </sheetData>
  <mergeCells count="9">
    <mergeCell ref="B1:E1"/>
    <mergeCell ref="B2:E2"/>
    <mergeCell ref="B4:E4"/>
    <mergeCell ref="A15:I15"/>
    <mergeCell ref="A16:I16"/>
    <mergeCell ref="A17:I17"/>
    <mergeCell ref="A18:I18"/>
    <mergeCell ref="A19:I19"/>
    <mergeCell ref="A20:I20"/>
  </mergeCells>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FormatPr defaultRowHeight="15" outlineLevelRow="0" outlineLevelCol="0" x14ac:dyDescent="55"/>
  <cols>
    <col min="1" max="1" width="20" style="1" customWidth="1"/>
    <col min="2" max="2" width="14" style="1" customWidth="1"/>
    <col min="3" max="4" width="11" style="1" customWidth="1"/>
    <col min="5" max="5" width="17" style="1" customWidth="1"/>
    <col min="6" max="6" width="13" style="1" customWidth="1"/>
    <col min="7" max="7" width="12" style="1" customWidth="1"/>
    <col min="8" max="8" width="11" style="1" customWidth="1"/>
    <col min="9" max="9" width="30" style="1" customWidth="1"/>
    <col min="10" max="11" style="1" customWidth="1"/>
  </cols>
  <sheetData>
    <row r="1" spans="1:5" x14ac:dyDescent="0.25">
      <c r="A1" s="2" t="s">
        <v>29</v>
      </c>
      <c r="B1" s="2" t="s">
        <v>1</v>
      </c>
      <c r="C1" s="1"/>
      <c r="D1" s="1"/>
      <c r="E1" s="1"/>
    </row>
    <row r="2" spans="1:5" x14ac:dyDescent="0.25">
      <c r="A2" s="2" t="s">
        <v>30</v>
      </c>
      <c r="B2" s="2" t="s">
        <v>14</v>
      </c>
      <c r="C2" s="1"/>
      <c r="D2" s="1"/>
      <c r="E2" s="1"/>
    </row>
    <row r="4" spans="1:5" x14ac:dyDescent="0.25">
      <c r="A4" s="2" t="s">
        <v>31</v>
      </c>
      <c r="B4" s="1" t="s">
        <v>32</v>
      </c>
      <c r="C4" s="1"/>
      <c r="D4" s="1"/>
      <c r="E4" s="1"/>
    </row>
    <row r="6" spans="1:11" x14ac:dyDescent="0.25">
      <c r="A6" s="4" t="s">
        <v>33</v>
      </c>
      <c r="B6" s="4" t="s">
        <v>34</v>
      </c>
      <c r="C6" s="4" t="s">
        <v>2</v>
      </c>
      <c r="D6" s="4" t="s">
        <v>4</v>
      </c>
      <c r="E6" s="4" t="s">
        <v>35</v>
      </c>
      <c r="F6" s="4" t="s">
        <v>36</v>
      </c>
      <c r="G6" s="4" t="s">
        <v>37</v>
      </c>
      <c r="H6" s="4" t="s">
        <v>38</v>
      </c>
      <c r="I6" s="4" t="s">
        <v>39</v>
      </c>
      <c r="J6" s="4" t="s">
        <v>40</v>
      </c>
      <c r="K6" s="4" t="s">
        <v>41</v>
      </c>
    </row>
    <row r="7" spans="1:11" x14ac:dyDescent="0.25">
      <c r="A7" s="1" t="s">
        <v>30</v>
      </c>
      <c r="B7" s="6">
        <v>45969.375</v>
      </c>
      <c r="C7" s="7">
        <f>B7</f>
        <v>45969.375</v>
      </c>
      <c r="D7" s="7">
        <v>45969.51041666667</v>
      </c>
      <c r="E7" s="1" t="str">
        <f>IF(FLOOR(TRUNC(K7),1)&gt;0,FLOOR(TRUNC(K7),1)&amp;"h "&amp;FLOOR(ROUND((K7-FLOOR(TRUNC(K7),1))*60,0),1)&amp;"m",FLOOR(ROUND((K7-FLOOR(TRUNC(K7),1))*60,0),1)&amp;"m")</f>
        <v>3h 15m</v>
      </c>
      <c r="F7" s="5">
        <v>20</v>
      </c>
      <c r="G7" s="1" t="s">
        <v>42</v>
      </c>
      <c r="H7" s="5">
        <f>K7*F7</f>
        <v>65</v>
      </c>
      <c r="I7" s="1" t="s">
        <v>30</v>
      </c>
      <c r="J7" s="5">
        <v>0</v>
      </c>
      <c r="K7" s="5">
        <f>MAX(ROUND((D7-B7)*24,3)-J7,0)</f>
        <v>3.25</v>
      </c>
    </row>
    <row r="8" spans="1:11" x14ac:dyDescent="0.25">
      <c r="A8" s="1" t="s">
        <v>30</v>
      </c>
      <c r="B8" s="6">
        <v>45968.375</v>
      </c>
      <c r="C8" s="7">
        <f>B8</f>
        <v>45968.375</v>
      </c>
      <c r="D8" s="7">
        <v>45968.63541666667</v>
      </c>
      <c r="E8" s="1" t="str">
        <f>IF(FLOOR(TRUNC(K8),1)&gt;0,FLOOR(TRUNC(K8),1)&amp;"h "&amp;FLOOR(ROUND((K8-FLOOR(TRUNC(K8),1))*60,0),1)&amp;"m",FLOOR(ROUND((K8-FLOOR(TRUNC(K8),1))*60,0),1)&amp;"m")</f>
        <v>6h 15m</v>
      </c>
      <c r="F8" s="5">
        <v>20</v>
      </c>
      <c r="G8" s="1" t="s">
        <v>42</v>
      </c>
      <c r="H8" s="5">
        <f>K8*F8</f>
        <v>125</v>
      </c>
      <c r="I8" s="1" t="s">
        <v>30</v>
      </c>
      <c r="J8" s="5">
        <v>0</v>
      </c>
      <c r="K8" s="5">
        <f>MAX(ROUND((D8-B8)*24,3)-J8,0)</f>
        <v>6.25</v>
      </c>
    </row>
    <row r="9" spans="1:11" x14ac:dyDescent="0.25">
      <c r="A9" s="1" t="s">
        <v>30</v>
      </c>
      <c r="B9" s="6">
        <v>45967.54166666667</v>
      </c>
      <c r="C9" s="7">
        <f>B9</f>
        <v>45967.54166666667</v>
      </c>
      <c r="D9" s="7">
        <v>45967.66666666667</v>
      </c>
      <c r="E9" s="1" t="str">
        <f>IF(FLOOR(TRUNC(K9),1)&gt;0,FLOOR(TRUNC(K9),1)&amp;"h "&amp;FLOOR(ROUND((K9-FLOOR(TRUNC(K9),1))*60,0),1)&amp;"m",FLOOR(ROUND((K9-FLOOR(TRUNC(K9),1))*60,0),1)&amp;"m")</f>
        <v>3h 0m</v>
      </c>
      <c r="F9" s="5">
        <v>20</v>
      </c>
      <c r="G9" s="1" t="s">
        <v>42</v>
      </c>
      <c r="H9" s="5">
        <f>K9*F9</f>
        <v>60</v>
      </c>
      <c r="I9" s="1" t="s">
        <v>30</v>
      </c>
      <c r="J9" s="5">
        <v>0</v>
      </c>
      <c r="K9" s="5">
        <f>MAX(ROUND((D9-B9)*24,3)-J9,0)</f>
        <v>3</v>
      </c>
    </row>
    <row r="10" spans="1:11" x14ac:dyDescent="0.25">
      <c r="A10" s="1" t="s">
        <v>30</v>
      </c>
      <c r="B10" s="6">
        <v>45964.33333333333</v>
      </c>
      <c r="C10" s="7">
        <f>B10</f>
        <v>45964.33333333333</v>
      </c>
      <c r="D10" s="7">
        <v>45964.6875</v>
      </c>
      <c r="E10" s="1" t="str">
        <f>IF(FLOOR(TRUNC(K10),1)&gt;0,FLOOR(TRUNC(K10),1)&amp;"h "&amp;FLOOR(ROUND((K10-FLOOR(TRUNC(K10),1))*60,0),1)&amp;"m",FLOOR(ROUND((K10-FLOOR(TRUNC(K10),1))*60,0),1)&amp;"m")</f>
        <v>8h 30m</v>
      </c>
      <c r="F10" s="5">
        <v>20</v>
      </c>
      <c r="G10" s="1" t="s">
        <v>42</v>
      </c>
      <c r="H10" s="5">
        <f>K10*F10</f>
        <v>170</v>
      </c>
      <c r="I10" s="1" t="s">
        <v>30</v>
      </c>
      <c r="J10" s="5">
        <v>0</v>
      </c>
      <c r="K10" s="5">
        <f>MAX(ROUND((D10-B10)*24,3)-J10,0)</f>
        <v>8.5</v>
      </c>
    </row>
    <row r="11" spans="4:10" x14ac:dyDescent="0.25">
      <c r="D11" s="4"/>
      <c r="E11" s="4"/>
      <c r="F11" s="4"/>
      <c r="G11" s="4"/>
      <c r="H11" s="4"/>
      <c r="I11" s="4"/>
      <c r="J11" s="4"/>
    </row>
    <row r="12" spans="4:11" x14ac:dyDescent="0.25">
      <c r="D12" s="2" t="s">
        <v>43</v>
      </c>
      <c r="E12" s="1" t="str">
        <f>IF(FLOOR(TRUNC(K12),1)&gt;0,FLOOR(TRUNC(K12),1)&amp;"h "&amp;FLOOR(ROUND((K12-FLOOR(TRUNC(K12),1))*60,0),1)&amp;"m",FLOOR(ROUND((K12-FLOOR(TRUNC(K12),1))*60,0),1)&amp;"m")</f>
        <v>21h 0m</v>
      </c>
      <c r="H12" s="5">
        <f>SUM(H7:H10)</f>
        <v>420</v>
      </c>
      <c r="J12" s="5">
        <f>SUM(J7:J10)</f>
        <v>0</v>
      </c>
      <c r="K12" s="5">
        <f>SUM(K7:K10)</f>
        <v>21</v>
      </c>
    </row>
    <row r="16" spans="1:9" x14ac:dyDescent="0.25">
      <c r="A16" s="2" t="s">
        <v>44</v>
      </c>
      <c r="B16" s="1"/>
      <c r="C16" s="1"/>
      <c r="D16" s="1"/>
      <c r="E16" s="1"/>
      <c r="F16" s="1"/>
      <c r="G16" s="1"/>
      <c r="H16" s="1"/>
      <c r="I16" s="1"/>
    </row>
    <row r="17" spans="1:9" x14ac:dyDescent="0.25">
      <c r="A17" s="1" t="s">
        <v>45</v>
      </c>
      <c r="B17" s="1"/>
      <c r="C17" s="1"/>
      <c r="D17" s="1"/>
      <c r="E17" s="1"/>
      <c r="F17" s="1"/>
      <c r="G17" s="1"/>
      <c r="H17" s="1"/>
      <c r="I17" s="1"/>
    </row>
    <row r="18" spans="1:9" x14ac:dyDescent="0.25">
      <c r="A18" s="1" t="s">
        <v>46</v>
      </c>
      <c r="B18" s="1"/>
      <c r="C18" s="1"/>
      <c r="D18" s="1"/>
      <c r="E18" s="1"/>
      <c r="F18" s="1"/>
      <c r="G18" s="1"/>
      <c r="H18" s="1"/>
      <c r="I18" s="1"/>
    </row>
    <row r="19" ht="30" customHeight="1" spans="1:9" x14ac:dyDescent="0.25">
      <c r="A19" s="1" t="s">
        <v>47</v>
      </c>
      <c r="B19" s="1"/>
      <c r="C19" s="1"/>
      <c r="D19" s="1"/>
      <c r="E19" s="1"/>
      <c r="F19" s="1"/>
      <c r="G19" s="1"/>
      <c r="H19" s="1"/>
      <c r="I19" s="1"/>
    </row>
    <row r="20" spans="1:9" x14ac:dyDescent="0.25">
      <c r="A20" s="1"/>
      <c r="B20" s="1"/>
      <c r="C20" s="1"/>
      <c r="D20" s="1"/>
      <c r="E20" s="1"/>
      <c r="F20" s="1"/>
      <c r="G20" s="1"/>
      <c r="H20" s="1"/>
      <c r="I20" s="1"/>
    </row>
    <row r="21" spans="1:9" x14ac:dyDescent="0.25">
      <c r="A21" s="1" t="s">
        <v>28</v>
      </c>
      <c r="B21" s="1"/>
      <c r="C21" s="1"/>
      <c r="D21" s="1"/>
      <c r="E21" s="1"/>
      <c r="F21" s="1"/>
      <c r="G21" s="1"/>
      <c r="H21" s="1"/>
      <c r="I21" s="1"/>
    </row>
  </sheetData>
  <mergeCells count="9">
    <mergeCell ref="B1:E1"/>
    <mergeCell ref="B2:E2"/>
    <mergeCell ref="B4:E4"/>
    <mergeCell ref="A16:I16"/>
    <mergeCell ref="A17:I17"/>
    <mergeCell ref="A18:I18"/>
    <mergeCell ref="A19:I19"/>
    <mergeCell ref="A20:I20"/>
    <mergeCell ref="A21:I21"/>
  </mergeCells>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3"/>
  <sheetFormatPr defaultRowHeight="15" outlineLevelRow="0" outlineLevelCol="0" x14ac:dyDescent="55"/>
  <cols>
    <col min="1" max="1" width="20" style="1" customWidth="1"/>
    <col min="2" max="2" width="14" style="1" customWidth="1"/>
    <col min="3" max="4" width="11" style="1" customWidth="1"/>
    <col min="5" max="5" width="17" style="1" customWidth="1"/>
    <col min="6" max="6" width="13" style="1" customWidth="1"/>
    <col min="7" max="7" width="12" style="1" customWidth="1"/>
    <col min="8" max="8" width="11" style="1" customWidth="1"/>
    <col min="9" max="9" width="30" style="1" customWidth="1"/>
    <col min="10" max="11" style="1" customWidth="1"/>
  </cols>
  <sheetData>
    <row r="1" spans="1:5" x14ac:dyDescent="0.25">
      <c r="A1" s="2" t="s">
        <v>29</v>
      </c>
      <c r="B1" s="2" t="s">
        <v>1</v>
      </c>
      <c r="C1" s="1"/>
      <c r="D1" s="1"/>
      <c r="E1" s="1"/>
    </row>
    <row r="2" spans="1:5" x14ac:dyDescent="0.25">
      <c r="A2" s="2" t="s">
        <v>30</v>
      </c>
      <c r="B2" s="2" t="s">
        <v>16</v>
      </c>
      <c r="C2" s="1"/>
      <c r="D2" s="1"/>
      <c r="E2" s="1"/>
    </row>
    <row r="4" spans="1:5" x14ac:dyDescent="0.25">
      <c r="A4" s="2" t="s">
        <v>31</v>
      </c>
      <c r="B4" s="1" t="s">
        <v>32</v>
      </c>
      <c r="C4" s="1"/>
      <c r="D4" s="1"/>
      <c r="E4" s="1"/>
    </row>
    <row r="6" spans="1:11" x14ac:dyDescent="0.25">
      <c r="A6" s="4" t="s">
        <v>33</v>
      </c>
      <c r="B6" s="4" t="s">
        <v>34</v>
      </c>
      <c r="C6" s="4" t="s">
        <v>2</v>
      </c>
      <c r="D6" s="4" t="s">
        <v>4</v>
      </c>
      <c r="E6" s="4" t="s">
        <v>35</v>
      </c>
      <c r="F6" s="4" t="s">
        <v>36</v>
      </c>
      <c r="G6" s="4" t="s">
        <v>37</v>
      </c>
      <c r="H6" s="4" t="s">
        <v>38</v>
      </c>
      <c r="I6" s="4" t="s">
        <v>39</v>
      </c>
      <c r="J6" s="4" t="s">
        <v>40</v>
      </c>
      <c r="K6" s="4" t="s">
        <v>41</v>
      </c>
    </row>
    <row r="7" spans="1:11" x14ac:dyDescent="0.25">
      <c r="A7" s="1" t="s">
        <v>30</v>
      </c>
      <c r="B7" s="6">
        <v>45969.375</v>
      </c>
      <c r="C7" s="7">
        <f>B7</f>
        <v>45969.375</v>
      </c>
      <c r="D7" s="7">
        <v>45969.6875</v>
      </c>
      <c r="E7" s="1" t="str">
        <f>IF(FLOOR(TRUNC(K7),1)&gt;0,FLOOR(TRUNC(K7),1)&amp;"h "&amp;FLOOR(ROUND((K7-FLOOR(TRUNC(K7),1))*60,0),1)&amp;"m",FLOOR(ROUND((K7-FLOOR(TRUNC(K7),1))*60,0),1)&amp;"m")</f>
        <v>7h 30m</v>
      </c>
      <c r="F7" s="5">
        <v>21.5</v>
      </c>
      <c r="G7" s="1" t="s">
        <v>42</v>
      </c>
      <c r="H7" s="5">
        <f>K7*F7</f>
        <v>161.25</v>
      </c>
      <c r="I7" s="1" t="s">
        <v>30</v>
      </c>
      <c r="J7" s="5">
        <v>0</v>
      </c>
      <c r="K7" s="5">
        <f>MAX(ROUND((D7-B7)*24,3)-J7,0)</f>
        <v>7.5</v>
      </c>
    </row>
    <row r="8" spans="1:11" x14ac:dyDescent="0.25">
      <c r="A8" s="1" t="s">
        <v>30</v>
      </c>
      <c r="B8" s="6">
        <v>45968.5625</v>
      </c>
      <c r="C8" s="7">
        <f>B8</f>
        <v>45968.5625</v>
      </c>
      <c r="D8" s="7">
        <v>45968.63541666667</v>
      </c>
      <c r="E8" s="1" t="str">
        <f>IF(FLOOR(TRUNC(K8),1)&gt;0,FLOOR(TRUNC(K8),1)&amp;"h "&amp;FLOOR(ROUND((K8-FLOOR(TRUNC(K8),1))*60,0),1)&amp;"m",FLOOR(ROUND((K8-FLOOR(TRUNC(K8),1))*60,0),1)&amp;"m")</f>
        <v>1h 45m</v>
      </c>
      <c r="F8" s="5">
        <v>21.5</v>
      </c>
      <c r="G8" s="1" t="s">
        <v>42</v>
      </c>
      <c r="H8" s="5">
        <f>K8*F8</f>
        <v>37.63</v>
      </c>
      <c r="I8" s="1" t="s">
        <v>30</v>
      </c>
      <c r="J8" s="5">
        <v>0</v>
      </c>
      <c r="K8" s="5">
        <f>MAX(ROUND((D8-B8)*24,3)-J8,0)</f>
        <v>1.75</v>
      </c>
    </row>
    <row r="9" spans="1:11" x14ac:dyDescent="0.25">
      <c r="A9" s="1" t="s">
        <v>30</v>
      </c>
      <c r="B9" s="6">
        <v>45968.45833333333</v>
      </c>
      <c r="C9" s="7">
        <f>B9</f>
        <v>45968.45833333333</v>
      </c>
      <c r="D9" s="7">
        <v>45968.47916666667</v>
      </c>
      <c r="E9" s="1" t="str">
        <f>IF(FLOOR(TRUNC(K9),1)&gt;0,FLOOR(TRUNC(K9),1)&amp;"h "&amp;FLOOR(ROUND((K9-FLOOR(TRUNC(K9),1))*60,0),1)&amp;"m",FLOOR(ROUND((K9-FLOOR(TRUNC(K9),1))*60,0),1)&amp;"m")</f>
        <v>30m</v>
      </c>
      <c r="F9" s="5">
        <v>21.5</v>
      </c>
      <c r="G9" s="1" t="s">
        <v>42</v>
      </c>
      <c r="H9" s="5">
        <f>K9*F9</f>
        <v>10.75</v>
      </c>
      <c r="I9" s="1" t="s">
        <v>30</v>
      </c>
      <c r="J9" s="5">
        <v>0</v>
      </c>
      <c r="K9" s="5">
        <f>MAX(ROUND((D9-B9)*24,3)-J9,0)</f>
        <v>0.5</v>
      </c>
    </row>
    <row r="10" spans="1:11" x14ac:dyDescent="0.25">
      <c r="A10" s="1" t="s">
        <v>30</v>
      </c>
      <c r="B10" s="6">
        <v>45967.60416666667</v>
      </c>
      <c r="C10" s="7">
        <f>B10</f>
        <v>45967.60416666667</v>
      </c>
      <c r="D10" s="7">
        <v>45967.63680555555</v>
      </c>
      <c r="E10" s="1" t="str">
        <f>IF(FLOOR(TRUNC(K10),1)&gt;0,FLOOR(TRUNC(K10),1)&amp;"h "&amp;FLOOR(ROUND((K10-FLOOR(TRUNC(K10),1))*60,0),1)&amp;"m",FLOOR(ROUND((K10-FLOOR(TRUNC(K10),1))*60,0),1)&amp;"m")</f>
        <v>47m</v>
      </c>
      <c r="F10" s="5">
        <v>21.5</v>
      </c>
      <c r="G10" s="1" t="s">
        <v>42</v>
      </c>
      <c r="H10" s="5">
        <f>K10*F10</f>
        <v>16.84</v>
      </c>
      <c r="I10" s="1" t="s">
        <v>30</v>
      </c>
      <c r="J10" s="5">
        <v>0</v>
      </c>
      <c r="K10" s="5">
        <f>MAX(ROUND((D10-B10)*24,3)-J10,0)</f>
        <v>0.783333</v>
      </c>
    </row>
    <row r="11" spans="1:11" x14ac:dyDescent="0.25">
      <c r="A11" s="1" t="s">
        <v>30</v>
      </c>
      <c r="B11" s="6">
        <v>45966.52083333333</v>
      </c>
      <c r="C11" s="7">
        <f>B11</f>
        <v>45966.52083333333</v>
      </c>
      <c r="D11" s="7">
        <v>45966.6875</v>
      </c>
      <c r="E11" s="1" t="str">
        <f>IF(FLOOR(TRUNC(K11),1)&gt;0,FLOOR(TRUNC(K11),1)&amp;"h "&amp;FLOOR(ROUND((K11-FLOOR(TRUNC(K11),1))*60,0),1)&amp;"m",FLOOR(ROUND((K11-FLOOR(TRUNC(K11),1))*60,0),1)&amp;"m")</f>
        <v>4h 0m</v>
      </c>
      <c r="F11" s="5">
        <v>21.5</v>
      </c>
      <c r="G11" s="1" t="s">
        <v>42</v>
      </c>
      <c r="H11" s="5">
        <f>K11*F11</f>
        <v>86</v>
      </c>
      <c r="I11" s="1" t="s">
        <v>30</v>
      </c>
      <c r="J11" s="5">
        <v>0</v>
      </c>
      <c r="K11" s="5">
        <f>MAX(ROUND((D11-B11)*24,3)-J11,0)</f>
        <v>4</v>
      </c>
    </row>
    <row r="12" spans="1:11" x14ac:dyDescent="0.25">
      <c r="A12" s="1" t="s">
        <v>30</v>
      </c>
      <c r="B12" s="6">
        <v>45964.625</v>
      </c>
      <c r="C12" s="7">
        <f>B12</f>
        <v>45964.625</v>
      </c>
      <c r="D12" s="7">
        <v>45964.66666666667</v>
      </c>
      <c r="E12" s="1" t="str">
        <f>IF(FLOOR(TRUNC(K12),1)&gt;0,FLOOR(TRUNC(K12),1)&amp;"h "&amp;FLOOR(ROUND((K12-FLOOR(TRUNC(K12),1))*60,0),1)&amp;"m",FLOOR(ROUND((K12-FLOOR(TRUNC(K12),1))*60,0),1)&amp;"m")</f>
        <v>1h 0m</v>
      </c>
      <c r="F12" s="5">
        <v>21.5</v>
      </c>
      <c r="G12" s="1" t="s">
        <v>42</v>
      </c>
      <c r="H12" s="5">
        <f>K12*F12</f>
        <v>21.5</v>
      </c>
      <c r="I12" s="1" t="s">
        <v>30</v>
      </c>
      <c r="J12" s="5">
        <v>0</v>
      </c>
      <c r="K12" s="5">
        <f>MAX(ROUND((D12-B12)*24,3)-J12,0)</f>
        <v>1</v>
      </c>
    </row>
    <row r="13" spans="4:10" x14ac:dyDescent="0.25">
      <c r="D13" s="4"/>
      <c r="E13" s="4"/>
      <c r="F13" s="4"/>
      <c r="G13" s="4"/>
      <c r="H13" s="4"/>
      <c r="I13" s="4"/>
      <c r="J13" s="4"/>
    </row>
    <row r="14" spans="4:11" x14ac:dyDescent="0.25">
      <c r="D14" s="2" t="s">
        <v>43</v>
      </c>
      <c r="E14" s="1" t="str">
        <f>IF(FLOOR(TRUNC(K14),1)&gt;0,FLOOR(TRUNC(K14),1)&amp;"h "&amp;FLOOR(ROUND((K14-FLOOR(TRUNC(K14),1))*60,0),1)&amp;"m",FLOOR(ROUND((K14-FLOOR(TRUNC(K14),1))*60,0),1)&amp;"m")</f>
        <v>15h 32m</v>
      </c>
      <c r="H14" s="5">
        <f>SUM(H7:H12)</f>
        <v>333.97</v>
      </c>
      <c r="J14" s="5">
        <f>SUM(J7:J12)</f>
        <v>0</v>
      </c>
      <c r="K14" s="5">
        <f>SUM(K7:K12)</f>
        <v>15.53</v>
      </c>
    </row>
    <row r="18" spans="1:9" x14ac:dyDescent="0.25">
      <c r="A18" s="2" t="s">
        <v>44</v>
      </c>
      <c r="B18" s="1"/>
      <c r="C18" s="1"/>
      <c r="D18" s="1"/>
      <c r="E18" s="1"/>
      <c r="F18" s="1"/>
      <c r="G18" s="1"/>
      <c r="H18" s="1"/>
      <c r="I18" s="1"/>
    </row>
    <row r="19" spans="1:9" x14ac:dyDescent="0.25">
      <c r="A19" s="1" t="s">
        <v>45</v>
      </c>
      <c r="B19" s="1"/>
      <c r="C19" s="1"/>
      <c r="D19" s="1"/>
      <c r="E19" s="1"/>
      <c r="F19" s="1"/>
      <c r="G19" s="1"/>
      <c r="H19" s="1"/>
      <c r="I19" s="1"/>
    </row>
    <row r="20" spans="1:9" x14ac:dyDescent="0.25">
      <c r="A20" s="1" t="s">
        <v>46</v>
      </c>
      <c r="B20" s="1"/>
      <c r="C20" s="1"/>
      <c r="D20" s="1"/>
      <c r="E20" s="1"/>
      <c r="F20" s="1"/>
      <c r="G20" s="1"/>
      <c r="H20" s="1"/>
      <c r="I20" s="1"/>
    </row>
    <row r="21" ht="30" customHeight="1" spans="1:9" x14ac:dyDescent="0.25">
      <c r="A21" s="1" t="s">
        <v>47</v>
      </c>
      <c r="B21" s="1"/>
      <c r="C21" s="1"/>
      <c r="D21" s="1"/>
      <c r="E21" s="1"/>
      <c r="F21" s="1"/>
      <c r="G21" s="1"/>
      <c r="H21" s="1"/>
      <c r="I21" s="1"/>
    </row>
    <row r="22" spans="1:9" x14ac:dyDescent="0.25">
      <c r="A22" s="1"/>
      <c r="B22" s="1"/>
      <c r="C22" s="1"/>
      <c r="D22" s="1"/>
      <c r="E22" s="1"/>
      <c r="F22" s="1"/>
      <c r="G22" s="1"/>
      <c r="H22" s="1"/>
      <c r="I22" s="1"/>
    </row>
    <row r="23" spans="1:9" x14ac:dyDescent="0.25">
      <c r="A23" s="1" t="s">
        <v>28</v>
      </c>
      <c r="B23" s="1"/>
      <c r="C23" s="1"/>
      <c r="D23" s="1"/>
      <c r="E23" s="1"/>
      <c r="F23" s="1"/>
      <c r="G23" s="1"/>
      <c r="H23" s="1"/>
      <c r="I23" s="1"/>
    </row>
  </sheetData>
  <mergeCells count="9">
    <mergeCell ref="B1:E1"/>
    <mergeCell ref="B2:E2"/>
    <mergeCell ref="B4:E4"/>
    <mergeCell ref="A18:I18"/>
    <mergeCell ref="A19:I19"/>
    <mergeCell ref="A20:I20"/>
    <mergeCell ref="A21:I21"/>
    <mergeCell ref="A22:I22"/>
    <mergeCell ref="A23:I23"/>
  </mergeCells>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
  <sheetFormatPr defaultRowHeight="15" outlineLevelRow="0" outlineLevelCol="0" x14ac:dyDescent="55"/>
  <cols>
    <col min="1" max="1" width="20" style="1" customWidth="1"/>
    <col min="2" max="2" width="14" style="1" customWidth="1"/>
    <col min="3" max="4" width="11" style="1" customWidth="1"/>
    <col min="5" max="5" width="17" style="1" customWidth="1"/>
    <col min="6" max="6" width="13" style="1" customWidth="1"/>
    <col min="7" max="7" width="12" style="1" customWidth="1"/>
    <col min="8" max="8" width="11" style="1" customWidth="1"/>
    <col min="9" max="9" width="30" style="1" customWidth="1"/>
    <col min="10" max="11" style="1" customWidth="1"/>
  </cols>
  <sheetData>
    <row r="1" spans="1:5" x14ac:dyDescent="0.25">
      <c r="A1" s="2" t="s">
        <v>29</v>
      </c>
      <c r="B1" s="2" t="s">
        <v>1</v>
      </c>
      <c r="C1" s="1"/>
      <c r="D1" s="1"/>
      <c r="E1" s="1"/>
    </row>
    <row r="2" spans="1:5" x14ac:dyDescent="0.25">
      <c r="A2" s="2" t="s">
        <v>30</v>
      </c>
      <c r="B2" s="2" t="s">
        <v>18</v>
      </c>
      <c r="C2" s="1"/>
      <c r="D2" s="1"/>
      <c r="E2" s="1"/>
    </row>
    <row r="4" spans="1:5" x14ac:dyDescent="0.25">
      <c r="A4" s="2" t="s">
        <v>31</v>
      </c>
      <c r="B4" s="1" t="s">
        <v>32</v>
      </c>
      <c r="C4" s="1"/>
      <c r="D4" s="1"/>
      <c r="E4" s="1"/>
    </row>
    <row r="6" spans="1:11" x14ac:dyDescent="0.25">
      <c r="A6" s="4" t="s">
        <v>33</v>
      </c>
      <c r="B6" s="4" t="s">
        <v>34</v>
      </c>
      <c r="C6" s="4" t="s">
        <v>2</v>
      </c>
      <c r="D6" s="4" t="s">
        <v>4</v>
      </c>
      <c r="E6" s="4" t="s">
        <v>35</v>
      </c>
      <c r="F6" s="4" t="s">
        <v>36</v>
      </c>
      <c r="G6" s="4" t="s">
        <v>37</v>
      </c>
      <c r="H6" s="4" t="s">
        <v>38</v>
      </c>
      <c r="I6" s="4" t="s">
        <v>39</v>
      </c>
      <c r="J6" s="4" t="s">
        <v>40</v>
      </c>
      <c r="K6" s="4" t="s">
        <v>41</v>
      </c>
    </row>
    <row r="7" spans="1:11" x14ac:dyDescent="0.25">
      <c r="A7" s="1" t="s">
        <v>30</v>
      </c>
      <c r="B7" s="6">
        <v>45969.375</v>
      </c>
      <c r="C7" s="7">
        <f>B7</f>
        <v>45969.375</v>
      </c>
      <c r="D7" s="7">
        <v>45969.68680555555</v>
      </c>
      <c r="E7" s="1" t="str">
        <f>IF(FLOOR(TRUNC(K7),1)&gt;0,FLOOR(TRUNC(K7),1)&amp;"h "&amp;FLOOR(ROUND((K7-FLOOR(TRUNC(K7),1))*60,0),1)&amp;"m",FLOOR(ROUND((K7-FLOOR(TRUNC(K7),1))*60,0),1)&amp;"m")</f>
        <v>7h 29m</v>
      </c>
      <c r="F7" s="5">
        <v>16.1</v>
      </c>
      <c r="G7" s="1" t="s">
        <v>42</v>
      </c>
      <c r="H7" s="5">
        <f>K7*F7</f>
        <v>120.48</v>
      </c>
      <c r="I7" s="1" t="s">
        <v>30</v>
      </c>
      <c r="J7" s="5">
        <v>0</v>
      </c>
      <c r="K7" s="5">
        <f>MAX(ROUND((D7-B7)*24,3)-J7,0)</f>
        <v>7.483333</v>
      </c>
    </row>
    <row r="8" spans="1:11" x14ac:dyDescent="0.25">
      <c r="A8" s="1" t="s">
        <v>30</v>
      </c>
      <c r="B8" s="6">
        <v>45965.375</v>
      </c>
      <c r="C8" s="7">
        <f>B8</f>
        <v>45965.375</v>
      </c>
      <c r="D8" s="7">
        <v>45965.62847222222</v>
      </c>
      <c r="E8" s="1" t="str">
        <f>IF(FLOOR(TRUNC(K8),1)&gt;0,FLOOR(TRUNC(K8),1)&amp;"h "&amp;FLOOR(ROUND((K8-FLOOR(TRUNC(K8),1))*60,0),1)&amp;"m",FLOOR(ROUND((K8-FLOOR(TRUNC(K8),1))*60,0),1)&amp;"m")</f>
        <v>6h 5m</v>
      </c>
      <c r="F8" s="5">
        <v>16.1</v>
      </c>
      <c r="G8" s="1" t="s">
        <v>42</v>
      </c>
      <c r="H8" s="5">
        <f>K8*F8</f>
        <v>97.94</v>
      </c>
      <c r="I8" s="1" t="s">
        <v>30</v>
      </c>
      <c r="J8" s="5">
        <v>0</v>
      </c>
      <c r="K8" s="5">
        <f>MAX(ROUND((D8-B8)*24,3)-J8,0)</f>
        <v>6.083333</v>
      </c>
    </row>
    <row r="9" spans="4:10" x14ac:dyDescent="0.25">
      <c r="D9" s="4"/>
      <c r="E9" s="4"/>
      <c r="F9" s="4"/>
      <c r="G9" s="4"/>
      <c r="H9" s="4"/>
      <c r="I9" s="4"/>
      <c r="J9" s="4"/>
    </row>
    <row r="10" spans="4:11" x14ac:dyDescent="0.25">
      <c r="D10" s="2" t="s">
        <v>43</v>
      </c>
      <c r="E10" s="1" t="str">
        <f>IF(FLOOR(TRUNC(K10),1)&gt;0,FLOOR(TRUNC(K10),1)&amp;"h "&amp;FLOOR(ROUND((K10-FLOOR(TRUNC(K10),1))*60,0),1)&amp;"m",FLOOR(ROUND((K10-FLOOR(TRUNC(K10),1))*60,0),1)&amp;"m")</f>
        <v>13h 34m</v>
      </c>
      <c r="H10" s="5">
        <f>SUM(H7:H8)</f>
        <v>218.42</v>
      </c>
      <c r="J10" s="5">
        <f>SUM(J7:J8)</f>
        <v>0</v>
      </c>
      <c r="K10" s="5">
        <f>SUM(K7:K8)</f>
        <v>13.57</v>
      </c>
    </row>
    <row r="14" spans="1:9" x14ac:dyDescent="0.25">
      <c r="A14" s="2" t="s">
        <v>44</v>
      </c>
      <c r="B14" s="1"/>
      <c r="C14" s="1"/>
      <c r="D14" s="1"/>
      <c r="E14" s="1"/>
      <c r="F14" s="1"/>
      <c r="G14" s="1"/>
      <c r="H14" s="1"/>
      <c r="I14" s="1"/>
    </row>
    <row r="15" spans="1:9" x14ac:dyDescent="0.25">
      <c r="A15" s="1" t="s">
        <v>45</v>
      </c>
      <c r="B15" s="1"/>
      <c r="C15" s="1"/>
      <c r="D15" s="1"/>
      <c r="E15" s="1"/>
      <c r="F15" s="1"/>
      <c r="G15" s="1"/>
      <c r="H15" s="1"/>
      <c r="I15" s="1"/>
    </row>
    <row r="16" spans="1:9" x14ac:dyDescent="0.25">
      <c r="A16" s="1" t="s">
        <v>46</v>
      </c>
      <c r="B16" s="1"/>
      <c r="C16" s="1"/>
      <c r="D16" s="1"/>
      <c r="E16" s="1"/>
      <c r="F16" s="1"/>
      <c r="G16" s="1"/>
      <c r="H16" s="1"/>
      <c r="I16" s="1"/>
    </row>
    <row r="17" ht="30" customHeight="1" spans="1:9" x14ac:dyDescent="0.25">
      <c r="A17" s="1" t="s">
        <v>47</v>
      </c>
      <c r="B17" s="1"/>
      <c r="C17" s="1"/>
      <c r="D17" s="1"/>
      <c r="E17" s="1"/>
      <c r="F17" s="1"/>
      <c r="G17" s="1"/>
      <c r="H17" s="1"/>
      <c r="I17" s="1"/>
    </row>
    <row r="18" spans="1:9" x14ac:dyDescent="0.25">
      <c r="A18" s="1"/>
      <c r="B18" s="1"/>
      <c r="C18" s="1"/>
      <c r="D18" s="1"/>
      <c r="E18" s="1"/>
      <c r="F18" s="1"/>
      <c r="G18" s="1"/>
      <c r="H18" s="1"/>
      <c r="I18" s="1"/>
    </row>
    <row r="19" spans="1:9" x14ac:dyDescent="0.25">
      <c r="A19" s="1" t="s">
        <v>28</v>
      </c>
      <c r="B19" s="1"/>
      <c r="C19" s="1"/>
      <c r="D19" s="1"/>
      <c r="E19" s="1"/>
      <c r="F19" s="1"/>
      <c r="G19" s="1"/>
      <c r="H19" s="1"/>
      <c r="I19" s="1"/>
    </row>
  </sheetData>
  <mergeCells count="9">
    <mergeCell ref="B1:E1"/>
    <mergeCell ref="B2:E2"/>
    <mergeCell ref="B4:E4"/>
    <mergeCell ref="A14:I14"/>
    <mergeCell ref="A15:I15"/>
    <mergeCell ref="A16:I16"/>
    <mergeCell ref="A17:I17"/>
    <mergeCell ref="A18:I18"/>
    <mergeCell ref="A19:I19"/>
  </mergeCells>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
  <sheetFormatPr defaultRowHeight="15" outlineLevelRow="0" outlineLevelCol="0" x14ac:dyDescent="55"/>
  <cols>
    <col min="1" max="1" width="20" style="1" customWidth="1"/>
    <col min="2" max="2" width="14" style="1" customWidth="1"/>
    <col min="3" max="4" width="11" style="1" customWidth="1"/>
    <col min="5" max="5" width="17" style="1" customWidth="1"/>
    <col min="6" max="6" width="13" style="1" customWidth="1"/>
    <col min="7" max="7" width="12" style="1" customWidth="1"/>
    <col min="8" max="8" width="11" style="1" customWidth="1"/>
    <col min="9" max="9" width="30" style="1" customWidth="1"/>
    <col min="10" max="11" style="1" customWidth="1"/>
  </cols>
  <sheetData>
    <row r="1" spans="1:5" x14ac:dyDescent="0.25">
      <c r="A1" s="2" t="s">
        <v>29</v>
      </c>
      <c r="B1" s="2" t="s">
        <v>1</v>
      </c>
      <c r="C1" s="1"/>
      <c r="D1" s="1"/>
      <c r="E1" s="1"/>
    </row>
    <row r="2" spans="1:5" x14ac:dyDescent="0.25">
      <c r="A2" s="2" t="s">
        <v>30</v>
      </c>
      <c r="B2" s="2" t="s">
        <v>20</v>
      </c>
      <c r="C2" s="1"/>
      <c r="D2" s="1"/>
      <c r="E2" s="1"/>
    </row>
    <row r="4" spans="1:5" x14ac:dyDescent="0.25">
      <c r="A4" s="2" t="s">
        <v>31</v>
      </c>
      <c r="B4" s="1" t="s">
        <v>32</v>
      </c>
      <c r="C4" s="1"/>
      <c r="D4" s="1"/>
      <c r="E4" s="1"/>
    </row>
    <row r="6" spans="1:11" x14ac:dyDescent="0.25">
      <c r="A6" s="4" t="s">
        <v>33</v>
      </c>
      <c r="B6" s="4" t="s">
        <v>34</v>
      </c>
      <c r="C6" s="4" t="s">
        <v>2</v>
      </c>
      <c r="D6" s="4" t="s">
        <v>4</v>
      </c>
      <c r="E6" s="4" t="s">
        <v>35</v>
      </c>
      <c r="F6" s="4" t="s">
        <v>36</v>
      </c>
      <c r="G6" s="4" t="s">
        <v>37</v>
      </c>
      <c r="H6" s="4" t="s">
        <v>38</v>
      </c>
      <c r="I6" s="4" t="s">
        <v>39</v>
      </c>
      <c r="J6" s="4" t="s">
        <v>40</v>
      </c>
      <c r="K6" s="4" t="s">
        <v>41</v>
      </c>
    </row>
    <row r="7" spans="1:11" x14ac:dyDescent="0.25">
      <c r="A7" s="1" t="s">
        <v>30</v>
      </c>
      <c r="B7" s="6">
        <v>45968.375</v>
      </c>
      <c r="C7" s="7">
        <f>B7</f>
        <v>45968.375</v>
      </c>
      <c r="D7" s="7">
        <v>45968.59027777778</v>
      </c>
      <c r="E7" s="1" t="str">
        <f>IF(FLOOR(TRUNC(K7),1)&gt;0,FLOOR(TRUNC(K7),1)&amp;"h "&amp;FLOOR(ROUND((K7-FLOOR(TRUNC(K7),1))*60,0),1)&amp;"m",FLOOR(ROUND((K7-FLOOR(TRUNC(K7),1))*60,0),1)&amp;"m")</f>
        <v>5h 10m</v>
      </c>
      <c r="F7" s="5">
        <v>18.75</v>
      </c>
      <c r="G7" s="1" t="s">
        <v>42</v>
      </c>
      <c r="H7" s="5">
        <f>K7*F7</f>
        <v>96.88</v>
      </c>
      <c r="I7" s="1" t="s">
        <v>30</v>
      </c>
      <c r="J7" s="5">
        <v>0</v>
      </c>
      <c r="K7" s="5">
        <f>MAX(ROUND((D7-B7)*24,3)-J7,0)</f>
        <v>5.166667</v>
      </c>
    </row>
    <row r="8" spans="1:11" x14ac:dyDescent="0.25">
      <c r="A8" s="1" t="s">
        <v>30</v>
      </c>
      <c r="B8" s="6">
        <v>45966.375</v>
      </c>
      <c r="C8" s="7">
        <f>B8</f>
        <v>45966.375</v>
      </c>
      <c r="D8" s="7">
        <v>45966.69791666667</v>
      </c>
      <c r="E8" s="1" t="str">
        <f>IF(FLOOR(TRUNC(K8),1)&gt;0,FLOOR(TRUNC(K8),1)&amp;"h "&amp;FLOOR(ROUND((K8-FLOOR(TRUNC(K8),1))*60,0),1)&amp;"m",FLOOR(ROUND((K8-FLOOR(TRUNC(K8),1))*60,0),1)&amp;"m")</f>
        <v>7h 45m</v>
      </c>
      <c r="F8" s="5">
        <v>18.75</v>
      </c>
      <c r="G8" s="1" t="s">
        <v>42</v>
      </c>
      <c r="H8" s="5">
        <f>K8*F8</f>
        <v>145.31</v>
      </c>
      <c r="I8" s="1" t="s">
        <v>30</v>
      </c>
      <c r="J8" s="5">
        <v>0</v>
      </c>
      <c r="K8" s="5">
        <f>MAX(ROUND((D8-B8)*24,3)-J8,0)</f>
        <v>7.75</v>
      </c>
    </row>
    <row r="9" spans="4:10" x14ac:dyDescent="0.25">
      <c r="D9" s="4"/>
      <c r="E9" s="4"/>
      <c r="F9" s="4"/>
      <c r="G9" s="4"/>
      <c r="H9" s="4"/>
      <c r="I9" s="4"/>
      <c r="J9" s="4"/>
    </row>
    <row r="10" spans="4:11" x14ac:dyDescent="0.25">
      <c r="D10" s="2" t="s">
        <v>43</v>
      </c>
      <c r="E10" s="1" t="str">
        <f>IF(FLOOR(TRUNC(K10),1)&gt;0,FLOOR(TRUNC(K10),1)&amp;"h "&amp;FLOOR(ROUND((K10-FLOOR(TRUNC(K10),1))*60,0),1)&amp;"m",FLOOR(ROUND((K10-FLOOR(TRUNC(K10),1))*60,0),1)&amp;"m")</f>
        <v>12h 55m</v>
      </c>
      <c r="H10" s="5">
        <f>SUM(H7:H8)</f>
        <v>242.19</v>
      </c>
      <c r="J10" s="5">
        <f>SUM(J7:J8)</f>
        <v>0</v>
      </c>
      <c r="K10" s="5">
        <f>SUM(K7:K8)</f>
        <v>12.92</v>
      </c>
    </row>
    <row r="14" spans="1:9" x14ac:dyDescent="0.25">
      <c r="A14" s="2" t="s">
        <v>44</v>
      </c>
      <c r="B14" s="1"/>
      <c r="C14" s="1"/>
      <c r="D14" s="1"/>
      <c r="E14" s="1"/>
      <c r="F14" s="1"/>
      <c r="G14" s="1"/>
      <c r="H14" s="1"/>
      <c r="I14" s="1"/>
    </row>
    <row r="15" spans="1:9" x14ac:dyDescent="0.25">
      <c r="A15" s="1" t="s">
        <v>45</v>
      </c>
      <c r="B15" s="1"/>
      <c r="C15" s="1"/>
      <c r="D15" s="1"/>
      <c r="E15" s="1"/>
      <c r="F15" s="1"/>
      <c r="G15" s="1"/>
      <c r="H15" s="1"/>
      <c r="I15" s="1"/>
    </row>
    <row r="16" spans="1:9" x14ac:dyDescent="0.25">
      <c r="A16" s="1" t="s">
        <v>46</v>
      </c>
      <c r="B16" s="1"/>
      <c r="C16" s="1"/>
      <c r="D16" s="1"/>
      <c r="E16" s="1"/>
      <c r="F16" s="1"/>
      <c r="G16" s="1"/>
      <c r="H16" s="1"/>
      <c r="I16" s="1"/>
    </row>
    <row r="17" ht="30" customHeight="1" spans="1:9" x14ac:dyDescent="0.25">
      <c r="A17" s="1" t="s">
        <v>47</v>
      </c>
      <c r="B17" s="1"/>
      <c r="C17" s="1"/>
      <c r="D17" s="1"/>
      <c r="E17" s="1"/>
      <c r="F17" s="1"/>
      <c r="G17" s="1"/>
      <c r="H17" s="1"/>
      <c r="I17" s="1"/>
    </row>
    <row r="18" spans="1:9" x14ac:dyDescent="0.25">
      <c r="A18" s="1"/>
      <c r="B18" s="1"/>
      <c r="C18" s="1"/>
      <c r="D18" s="1"/>
      <c r="E18" s="1"/>
      <c r="F18" s="1"/>
      <c r="G18" s="1"/>
      <c r="H18" s="1"/>
      <c r="I18" s="1"/>
    </row>
    <row r="19" spans="1:9" x14ac:dyDescent="0.25">
      <c r="A19" s="1" t="s">
        <v>28</v>
      </c>
      <c r="B19" s="1"/>
      <c r="C19" s="1"/>
      <c r="D19" s="1"/>
      <c r="E19" s="1"/>
      <c r="F19" s="1"/>
      <c r="G19" s="1"/>
      <c r="H19" s="1"/>
      <c r="I19" s="1"/>
    </row>
  </sheetData>
  <mergeCells count="9">
    <mergeCell ref="B1:E1"/>
    <mergeCell ref="B2:E2"/>
    <mergeCell ref="B4:E4"/>
    <mergeCell ref="A14:I14"/>
    <mergeCell ref="A15:I15"/>
    <mergeCell ref="A16:I16"/>
    <mergeCell ref="A17:I17"/>
    <mergeCell ref="A18:I18"/>
    <mergeCell ref="A19:I19"/>
  </mergeCells>
  <pageSetup orientation="landscape"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
  <sheetFormatPr defaultRowHeight="15" outlineLevelRow="0" outlineLevelCol="0" x14ac:dyDescent="55"/>
  <cols>
    <col min="1" max="1" width="20" style="1" customWidth="1"/>
    <col min="2" max="2" width="14" style="1" customWidth="1"/>
    <col min="3" max="4" width="11" style="1" customWidth="1"/>
    <col min="5" max="5" width="17" style="1" customWidth="1"/>
    <col min="6" max="6" width="13" style="1" customWidth="1"/>
    <col min="7" max="7" width="12" style="1" customWidth="1"/>
    <col min="8" max="8" width="11" style="1" customWidth="1"/>
    <col min="9" max="9" width="30" style="1" customWidth="1"/>
    <col min="10" max="11" style="1" customWidth="1"/>
  </cols>
  <sheetData>
    <row r="1" spans="1:5" x14ac:dyDescent="0.25">
      <c r="A1" s="2" t="s">
        <v>29</v>
      </c>
      <c r="B1" s="2" t="s">
        <v>1</v>
      </c>
      <c r="C1" s="1"/>
      <c r="D1" s="1"/>
      <c r="E1" s="1"/>
    </row>
    <row r="2" spans="1:5" x14ac:dyDescent="0.25">
      <c r="A2" s="2" t="s">
        <v>30</v>
      </c>
      <c r="B2" s="2" t="s">
        <v>22</v>
      </c>
      <c r="C2" s="1"/>
      <c r="D2" s="1"/>
      <c r="E2" s="1"/>
    </row>
    <row r="4" spans="1:5" x14ac:dyDescent="0.25">
      <c r="A4" s="2" t="s">
        <v>31</v>
      </c>
      <c r="B4" s="1" t="s">
        <v>32</v>
      </c>
      <c r="C4" s="1"/>
      <c r="D4" s="1"/>
      <c r="E4" s="1"/>
    </row>
    <row r="6" spans="1:11" x14ac:dyDescent="0.25">
      <c r="A6" s="4" t="s">
        <v>33</v>
      </c>
      <c r="B6" s="4" t="s">
        <v>34</v>
      </c>
      <c r="C6" s="4" t="s">
        <v>2</v>
      </c>
      <c r="D6" s="4" t="s">
        <v>4</v>
      </c>
      <c r="E6" s="4" t="s">
        <v>35</v>
      </c>
      <c r="F6" s="4" t="s">
        <v>36</v>
      </c>
      <c r="G6" s="4" t="s">
        <v>37</v>
      </c>
      <c r="H6" s="4" t="s">
        <v>38</v>
      </c>
      <c r="I6" s="4" t="s">
        <v>39</v>
      </c>
      <c r="J6" s="4" t="s">
        <v>40</v>
      </c>
      <c r="K6" s="4" t="s">
        <v>41</v>
      </c>
    </row>
    <row r="7" spans="4:10" x14ac:dyDescent="0.25">
      <c r="D7" s="4"/>
      <c r="E7" s="4"/>
      <c r="F7" s="4"/>
      <c r="G7" s="4"/>
      <c r="H7" s="4"/>
      <c r="I7" s="4"/>
      <c r="J7" s="4"/>
    </row>
    <row r="8" spans="4:11" x14ac:dyDescent="0.25">
      <c r="D8" s="2" t="s">
        <v>43</v>
      </c>
      <c r="E8" s="1" t="str">
        <f>IF(FLOOR(TRUNC(K8),1)&gt;0,FLOOR(TRUNC(K8),1)&amp;"h "&amp;FLOOR(ROUND((K8-FLOOR(TRUNC(K8),1))*60,0),1)&amp;"m",FLOOR(ROUND((K8-FLOOR(TRUNC(K8),1))*60,0),1)&amp;"m")</f>
        <v>0m</v>
      </c>
      <c r="H8" s="5">
        <f>SUM(H7:H6)</f>
        <v>0</v>
      </c>
      <c r="J8" s="5">
        <f>SUM(J7:J6)</f>
        <v>0</v>
      </c>
      <c r="K8" s="5">
        <f>SUM(K7:K6)</f>
        <v>0</v>
      </c>
    </row>
    <row r="12" spans="1:9" x14ac:dyDescent="0.25">
      <c r="A12" s="2" t="s">
        <v>44</v>
      </c>
      <c r="B12" s="1"/>
      <c r="C12" s="1"/>
      <c r="D12" s="1"/>
      <c r="E12" s="1"/>
      <c r="F12" s="1"/>
      <c r="G12" s="1"/>
      <c r="H12" s="1"/>
      <c r="I12" s="1"/>
    </row>
    <row r="13" spans="1:9" x14ac:dyDescent="0.25">
      <c r="A13" s="1" t="s">
        <v>45</v>
      </c>
      <c r="B13" s="1"/>
      <c r="C13" s="1"/>
      <c r="D13" s="1"/>
      <c r="E13" s="1"/>
      <c r="F13" s="1"/>
      <c r="G13" s="1"/>
      <c r="H13" s="1"/>
      <c r="I13" s="1"/>
    </row>
    <row r="14" spans="1:9" x14ac:dyDescent="0.25">
      <c r="A14" s="1" t="s">
        <v>46</v>
      </c>
      <c r="B14" s="1"/>
      <c r="C14" s="1"/>
      <c r="D14" s="1"/>
      <c r="E14" s="1"/>
      <c r="F14" s="1"/>
      <c r="G14" s="1"/>
      <c r="H14" s="1"/>
      <c r="I14" s="1"/>
    </row>
    <row r="15" ht="30" customHeight="1" spans="1:9" x14ac:dyDescent="0.25">
      <c r="A15" s="1" t="s">
        <v>47</v>
      </c>
      <c r="B15" s="1"/>
      <c r="C15" s="1"/>
      <c r="D15" s="1"/>
      <c r="E15" s="1"/>
      <c r="F15" s="1"/>
      <c r="G15" s="1"/>
      <c r="H15" s="1"/>
      <c r="I15" s="1"/>
    </row>
    <row r="16" spans="1:9" x14ac:dyDescent="0.25">
      <c r="A16" s="1"/>
      <c r="B16" s="1"/>
      <c r="C16" s="1"/>
      <c r="D16" s="1"/>
      <c r="E16" s="1"/>
      <c r="F16" s="1"/>
      <c r="G16" s="1"/>
      <c r="H16" s="1"/>
      <c r="I16" s="1"/>
    </row>
    <row r="17" spans="1:9" x14ac:dyDescent="0.25">
      <c r="A17" s="1" t="s">
        <v>28</v>
      </c>
      <c r="B17" s="1"/>
      <c r="C17" s="1"/>
      <c r="D17" s="1"/>
      <c r="E17" s="1"/>
      <c r="F17" s="1"/>
      <c r="G17" s="1"/>
      <c r="H17" s="1"/>
      <c r="I17" s="1"/>
    </row>
  </sheetData>
  <mergeCells count="9">
    <mergeCell ref="B1:E1"/>
    <mergeCell ref="B2:E2"/>
    <mergeCell ref="B4:E4"/>
    <mergeCell ref="A12:I12"/>
    <mergeCell ref="A13:I13"/>
    <mergeCell ref="A14:I14"/>
    <mergeCell ref="A15:I15"/>
    <mergeCell ref="A16:I16"/>
    <mergeCell ref="A17:I17"/>
  </mergeCells>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1.Angela Batang</vt:lpstr>
      <vt:lpstr>2.Ariane Momo</vt:lpstr>
      <vt:lpstr>3.Mariana Kryvka</vt:lpstr>
      <vt:lpstr>4.Paul Vital</vt:lpstr>
      <vt:lpstr>5.MADE</vt:lpstr>
      <vt:lpstr>6.Nanette Benz</vt:lpstr>
      <vt:lpstr>7.Soraya Koumi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 SQUARED</dc:creator>
  <dc:title/>
  <dc:subject/>
  <dc:description/>
  <cp:keywords/>
  <cp:category/>
  <cp:lastModifiedBy>TIME SQUARED</cp:lastModifiedBy>
  <dcterms:created xsi:type="dcterms:W3CDTF">2025-11-09T03:03:25Z</dcterms:created>
  <dcterms:modified xsi:type="dcterms:W3CDTF">2025-11-09T03:03:25Z</dcterms:modified>
</cp:coreProperties>
</file>